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0" documentId="8_{ABF4CC80-D2AF-4B96-A197-D7131F985237}" xr6:coauthVersionLast="47" xr6:coauthVersionMax="47" xr10:uidLastSave="{00000000-0000-0000-0000-000000000000}"/>
  <bookViews>
    <workbookView xWindow="-5355" yWindow="-16320" windowWidth="38640" windowHeight="15720" firstSheet="4" activeTab="4" xr2:uid="{00000000-000D-0000-FFFF-FFFF00000000}"/>
  </bookViews>
  <sheets>
    <sheet name="Documentation" sheetId="5" r:id="rId1"/>
    <sheet name="HILUCS Overview" sheetId="3" r:id="rId2"/>
    <sheet name="Strategic Sectors" sheetId="2" r:id="rId3"/>
    <sheet name="HILUCS Gaps" sheetId="4" r:id="rId4"/>
    <sheet name="Master Taxonomy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/>
</calcChain>
</file>

<file path=xl/sharedStrings.xml><?xml version="1.0" encoding="utf-8"?>
<sst xmlns="http://schemas.openxmlformats.org/spreadsheetml/2006/main" count="411" uniqueCount="271">
  <si>
    <t>European CRM / Property 360 Master Taxonomy</t>
  </si>
  <si>
    <t>HILUCS to Knight Frank Enterprise Sector Mapping</t>
  </si>
  <si>
    <t>Version: 1.0  |  Date: August 2026  |  Classification: Internal</t>
  </si>
  <si>
    <t>PURPOSE</t>
  </si>
  <si>
    <t>This workbook provides a master taxonomy bridging the HILUCS regulatory classification system</t>
  </si>
  <si>
    <t>(Hierarchical INSPIRE Land Use Classification System) with Knight Frank's enterprise sectors</t>
  </si>
  <si>
    <t>and asset classes for European institutional real estate.</t>
  </si>
  <si>
    <t>KEY CHALLENGE</t>
  </si>
  <si>
    <t>HILUCS was designed for spatial planning and land use regulation, not modern institutional</t>
  </si>
  <si>
    <t>real estate investment. Consequently, strategically important asset classes do not exist</t>
  </si>
  <si>
    <t>explicitly in the HILUCS framework, including:</t>
  </si>
  <si>
    <t xml:space="preserve">  • Data Centres (mapped via Information &amp; Communication Services)</t>
  </si>
  <si>
    <t xml:space="preserve">  • Life Sciences (mapped via Professional Technical &amp; Scientific Services)</t>
  </si>
  <si>
    <t xml:space="preserve">  • Build to Rent / PBSA / Senior Living (mapped via Residential categories)</t>
  </si>
  <si>
    <t xml:space="preserve">  • Self Storage (mapped via Logistical &amp; Storage Services)</t>
  </si>
  <si>
    <t>The enterprise layer in this taxonomy bridges that gap.</t>
  </si>
  <si>
    <t>SHEET DESCRIPTIONS</t>
  </si>
  <si>
    <t>1. Master Taxonomy - Complete HILUCS L1/L2 to KF Sector mapping (53 asset classes)</t>
  </si>
  <si>
    <t>2. Strategic Sectors - Key institutional sectors with HILUCS mapping and market significance</t>
  </si>
  <si>
    <t>3. HILUCS Overview - Summary of the 6 HILUCS L1 categories</t>
  </si>
  <si>
    <t>4. HILUCS Gaps - Documentation of asset classes not explicit in HILUCS</t>
  </si>
  <si>
    <t>HIERARCHY STRUCTURE</t>
  </si>
  <si>
    <t>Level 1: HILUCS L1 (Regulatory Layer) - 6 categories</t>
  </si>
  <si>
    <t>Level 2: HILUCS L2 (Regulatory Sub-Layer) - 43 categories</t>
  </si>
  <si>
    <t>Level 3: KF Enterprise Sector (Business Layer) - 53 sectors</t>
  </si>
  <si>
    <t>Level 4: KF Asset Classes (Granular Layer) - Multiple per sector</t>
  </si>
  <si>
    <t>USAGE NOTES</t>
  </si>
  <si>
    <t>• Use HILUCS codes for regulatory reporting and spatial planning compliance</t>
  </si>
  <si>
    <t>• Use KF Enterprise Sectors for investment analysis and market segmentation</t>
  </si>
  <si>
    <t>• Use KF Asset Classes for asset-level categorisation and benchmarking</t>
  </si>
  <si>
    <t>• Cross-reference Strategic Sectors for institutional investment focus areas</t>
  </si>
  <si>
    <t>HILUCS L1 Code</t>
  </si>
  <si>
    <t>HILUCS L1 Description</t>
  </si>
  <si>
    <t>L2 Categories</t>
  </si>
  <si>
    <t>KF Sectors Count</t>
  </si>
  <si>
    <t>Primary Use Case</t>
  </si>
  <si>
    <t>Primary Production</t>
  </si>
  <si>
    <t>Rural, Agricultural &amp; Natural Resources</t>
  </si>
  <si>
    <t>Secondary Production</t>
  </si>
  <si>
    <t>Manufacturing, Industrial &amp; Energy Production</t>
  </si>
  <si>
    <t>Tertiary Production</t>
  </si>
  <si>
    <t>Services: Retail, Office, Hotels, Healthcare, Leisure</t>
  </si>
  <si>
    <t>Transport, Logistics &amp; Utilities</t>
  </si>
  <si>
    <t>Infrastructure, Logistics &amp; Storage</t>
  </si>
  <si>
    <t>Residential Use</t>
  </si>
  <si>
    <t>All forms of residential and living sectors</t>
  </si>
  <si>
    <t>Other Uses</t>
  </si>
  <si>
    <t>Development land, Brownfield &amp; Strategic holdings</t>
  </si>
  <si>
    <t>TOTAL</t>
  </si>
  <si>
    <t>Strategic KF Sector</t>
  </si>
  <si>
    <t>HILUCS Mapping</t>
  </si>
  <si>
    <t>Market Significance</t>
  </si>
  <si>
    <t>Notes</t>
  </si>
  <si>
    <t>Office</t>
  </si>
  <si>
    <t>3.2.2</t>
  </si>
  <si>
    <t>Core</t>
  </si>
  <si>
    <t>Traditional institutional asset class</t>
  </si>
  <si>
    <t>Retail</t>
  </si>
  <si>
    <t>3.1.1</t>
  </si>
  <si>
    <t>Evolving with omnichannel strategies</t>
  </si>
  <si>
    <t>Industrial</t>
  </si>
  <si>
    <t>2.1 / 2.2 / 2.3</t>
  </si>
  <si>
    <t>Manufacturing and production facilities</t>
  </si>
  <si>
    <t>Logistics</t>
  </si>
  <si>
    <t>Core+</t>
  </si>
  <si>
    <t>High growth sector driven by e-commerce</t>
  </si>
  <si>
    <t>Data Centres</t>
  </si>
  <si>
    <t>3.2.3</t>
  </si>
  <si>
    <t>Emerging</t>
  </si>
  <si>
    <t>Not explicit in HILUCS - mapped via ICT Services</t>
  </si>
  <si>
    <t>Life Sciences</t>
  </si>
  <si>
    <t>Not explicit in HILUCS - mapped via Professional Services</t>
  </si>
  <si>
    <t>Healthcare</t>
  </si>
  <si>
    <t>3.3.3</t>
  </si>
  <si>
    <t>Defensive sector with demographic tailwinds</t>
  </si>
  <si>
    <t>Living</t>
  </si>
  <si>
    <t>5.x</t>
  </si>
  <si>
    <t>Umbrella for all residential-related sectors</t>
  </si>
  <si>
    <t>PBSA</t>
  </si>
  <si>
    <t>Not explicit in HILUCS - mapped via Other Residential</t>
  </si>
  <si>
    <t>Senior Living</t>
  </si>
  <si>
    <t>Hotels</t>
  </si>
  <si>
    <t>3.1.3</t>
  </si>
  <si>
    <t>Accommodation sector</t>
  </si>
  <si>
    <t>Self Storage</t>
  </si>
  <si>
    <t>Not explicit in HILUCS - mapped via Storage Services</t>
  </si>
  <si>
    <t>Energy</t>
  </si>
  <si>
    <t>Renewables and transition assets</t>
  </si>
  <si>
    <t>Infrastructure</t>
  </si>
  <si>
    <t>Utilities and essential services</t>
  </si>
  <si>
    <t>Land &amp; Development</t>
  </si>
  <si>
    <t>6.x</t>
  </si>
  <si>
    <t>Opportunistic</t>
  </si>
  <si>
    <t>Development pipeline and strategic holdings</t>
  </si>
  <si>
    <t>Modern Asset Class</t>
  </si>
  <si>
    <t>HILUCS Explicit?</t>
  </si>
  <si>
    <t>Enterprise Mapping</t>
  </si>
  <si>
    <t>HILUCS Code Used</t>
  </si>
  <si>
    <t>Gap Description</t>
  </si>
  <si>
    <t>No</t>
  </si>
  <si>
    <t>Digital Infrastructure</t>
  </si>
  <si>
    <t>HILUCS treats as generic ICT services; no distinction for hyperscale, colocation, or edge</t>
  </si>
  <si>
    <t>Bundled under professional services; no recognition of lab-specific requirements</t>
  </si>
  <si>
    <t>Build to Rent (BTR)</t>
  </si>
  <si>
    <t>No distinction between owner-occupied and institutional rental housing</t>
  </si>
  <si>
    <t>Classified as 'Other Residential'; no specific student accommodation category</t>
  </si>
  <si>
    <t>Bundled with logistics; no recognition as distinct asset class</t>
  </si>
  <si>
    <t>Split between Residential (5.3) and Healthcare (3.3.3); no unified category</t>
  </si>
  <si>
    <t>Co-Living</t>
  </si>
  <si>
    <t>No recognition of shared living concepts</t>
  </si>
  <si>
    <t>Multifamily</t>
  </si>
  <si>
    <t>No distinction from general residential</t>
  </si>
  <si>
    <t>Cold Storage</t>
  </si>
  <si>
    <t>Bundled with general logistics; no temperature-controlled recognition</t>
  </si>
  <si>
    <t>Flexible Workspace</t>
  </si>
  <si>
    <t>No distinction from traditional office</t>
  </si>
  <si>
    <t>Science Parks</t>
  </si>
  <si>
    <t>Treated as generic professional services</t>
  </si>
  <si>
    <t>Battery Storage</t>
  </si>
  <si>
    <t>Bundled under energy production generically</t>
  </si>
  <si>
    <t>EV Charging Infrastructure</t>
  </si>
  <si>
    <t>Energy Infrastructure</t>
  </si>
  <si>
    <t>4.3.1</t>
  </si>
  <si>
    <t>No specific recognition</t>
  </si>
  <si>
    <t>HILUCS L2 Code</t>
  </si>
  <si>
    <t>HILUCS L2 Description</t>
  </si>
  <si>
    <t>KF Enterprise Sector</t>
  </si>
  <si>
    <t>KF Asset Classes</t>
  </si>
  <si>
    <t>Agriculture</t>
  </si>
  <si>
    <t>Arable, Livestock, Mixed Farming, Orchards, Vineyards, Agricultural Estates</t>
  </si>
  <si>
    <t>Forestry</t>
  </si>
  <si>
    <t>Timber Estates, Managed Woodland, Carbon Forestry, Biomass Forestry</t>
  </si>
  <si>
    <t>Mining &amp; Quarrying</t>
  </si>
  <si>
    <t>Natural Resources</t>
  </si>
  <si>
    <t>Quarry, Aggregate Extraction, Mining Operations</t>
  </si>
  <si>
    <t>Aquaculture &amp; Fishing</t>
  </si>
  <si>
    <t>Marine Resources</t>
  </si>
  <si>
    <t>Fisheries, Aquaculture</t>
  </si>
  <si>
    <t>Other Primary Production</t>
  </si>
  <si>
    <t>Rural &amp; Land Holdings</t>
  </si>
  <si>
    <t>Sporting Estates, Hunting Estates, Managed Rural Land</t>
  </si>
  <si>
    <t>Raw Industry</t>
  </si>
  <si>
    <t>Industrial Manufacturing</t>
  </si>
  <si>
    <t>Chemical Plants, Steelworks, Cement Works, Processing Plants</t>
  </si>
  <si>
    <t>Heavy End Product Industry</t>
  </si>
  <si>
    <t>Advanced Manufacturing</t>
  </si>
  <si>
    <t>Automotive, Aerospace, Engineering Manufacturing</t>
  </si>
  <si>
    <t>Light End Product Industry</t>
  </si>
  <si>
    <t>Light Industrial</t>
  </si>
  <si>
    <t>Food Production, Consumer Manufacturing, Electronics Production</t>
  </si>
  <si>
    <t>Energy Production</t>
  </si>
  <si>
    <t>Power Stations, Solar Farms, Wind Farms, Battery Storage, Hydrogen Facilities</t>
  </si>
  <si>
    <t>Other Industry</t>
  </si>
  <si>
    <t>Specialist Industrial</t>
  </si>
  <si>
    <t>Defence Manufacturing, Specialist Production Facilities</t>
  </si>
  <si>
    <t>Wholesale &amp; Retail Trade</t>
  </si>
  <si>
    <t>Shopping Centres, Retail Parks, High Street, Outlet Centres, Supermarkets, Convenience Retail</t>
  </si>
  <si>
    <t>3.1.2</t>
  </si>
  <si>
    <t>Real Estate Services</t>
  </si>
  <si>
    <t>Mixed Commercial</t>
  </si>
  <si>
    <t>Mixed Use Commercial Developments</t>
  </si>
  <si>
    <t>Accommodation &amp; Food Services</t>
  </si>
  <si>
    <t>Hotels &amp; Hospitality</t>
  </si>
  <si>
    <t>Hotels, Resorts, Aparthotels, Serviced Apartments, Extended Stay</t>
  </si>
  <si>
    <t>Food &amp; Beverage</t>
  </si>
  <si>
    <t>Restaurants, Bars, Cafés, Pubs</t>
  </si>
  <si>
    <t>Professional Technical &amp; Scientific Services</t>
  </si>
  <si>
    <t>Prime Office, Grade A Office, Flexible Workspace, Corporate HQ, Business Parks</t>
  </si>
  <si>
    <t>Research Campuses, Laboratory Space, Wet Labs, Science Parks</t>
  </si>
  <si>
    <t>Information &amp; Communication Services</t>
  </si>
  <si>
    <t>Data Centres, Hyperscale, Colocation, Edge Facilities</t>
  </si>
  <si>
    <t>Telecom Infrastructure</t>
  </si>
  <si>
    <t>Exchanges, Telecom Hubs, Fibre Facilities</t>
  </si>
  <si>
    <t>3.2.1</t>
  </si>
  <si>
    <t>Financial &amp; Insurance Services</t>
  </si>
  <si>
    <t>Financial Services</t>
  </si>
  <si>
    <t>Banking HQs, Financial District Offices</t>
  </si>
  <si>
    <t>3.3.2</t>
  </si>
  <si>
    <t>Educational Services</t>
  </si>
  <si>
    <t>Education</t>
  </si>
  <si>
    <t>Schools, Universities, Colleges, Training Centres</t>
  </si>
  <si>
    <t>Health &amp; Social Services</t>
  </si>
  <si>
    <t>Hospitals, Medical Centres, Clinics</t>
  </si>
  <si>
    <t>Care &amp; Senior Living</t>
  </si>
  <si>
    <t>Care Homes, Nursing Homes, Assisted Living</t>
  </si>
  <si>
    <t>3.3.1</t>
  </si>
  <si>
    <t>Public Administration Services</t>
  </si>
  <si>
    <t>Public Sector</t>
  </si>
  <si>
    <t>Government Buildings, Civic Estate, Local Authority Buildings</t>
  </si>
  <si>
    <t>3.4.1</t>
  </si>
  <si>
    <t>Cultural Services</t>
  </si>
  <si>
    <t>Culture &amp; Heritage</t>
  </si>
  <si>
    <t>Museums, Galleries, Heritage Assets</t>
  </si>
  <si>
    <t>3.4.2</t>
  </si>
  <si>
    <t>Entertainment Services</t>
  </si>
  <si>
    <t>Leisure</t>
  </si>
  <si>
    <t>Cinemas, Casinos, Theme Parks</t>
  </si>
  <si>
    <t>3.4.3</t>
  </si>
  <si>
    <t>Sports Infrastructure</t>
  </si>
  <si>
    <t>Sports &amp; Stadia</t>
  </si>
  <si>
    <t>Stadiums, Arenas, Golf Courses, Sports Complexes</t>
  </si>
  <si>
    <t>3.4.4</t>
  </si>
  <si>
    <t>Open Air Recreation</t>
  </si>
  <si>
    <t>Recreation</t>
  </si>
  <si>
    <t>Parks, Visitor Attractions, Recreation Grounds</t>
  </si>
  <si>
    <t>4.1.1</t>
  </si>
  <si>
    <t>Road Transport</t>
  </si>
  <si>
    <t>Road Infrastructure</t>
  </si>
  <si>
    <t>Service Stations, Major Road Assets</t>
  </si>
  <si>
    <t>4.1.2</t>
  </si>
  <si>
    <t>Railway Transport</t>
  </si>
  <si>
    <t>Rail Infrastructure</t>
  </si>
  <si>
    <t>Stations, Rail Hubs, Freight Rail Assets</t>
  </si>
  <si>
    <t>4.1.3</t>
  </si>
  <si>
    <t>Air Transport</t>
  </si>
  <si>
    <t>Aviation</t>
  </si>
  <si>
    <t>Airports, Cargo Airports, Airfields</t>
  </si>
  <si>
    <t>4.1.4</t>
  </si>
  <si>
    <t>Water Transport</t>
  </si>
  <si>
    <t>Maritime</t>
  </si>
  <si>
    <t>Ports, Marinas, Container Terminals</t>
  </si>
  <si>
    <t>Logistical &amp; Storage Services</t>
  </si>
  <si>
    <t>Big Box Logistics, Distribution Centres, Fulfilment Centres</t>
  </si>
  <si>
    <t>Urban Logistics</t>
  </si>
  <si>
    <t>Last Mile Logistics, Parcel Hubs</t>
  </si>
  <si>
    <t>Self Storage Facilities</t>
  </si>
  <si>
    <t>Refrigerated Logistics Facilities</t>
  </si>
  <si>
    <t>Electricity, Gas &amp; Thermal Distribution</t>
  </si>
  <si>
    <t>Substations, Grid Infrastructure</t>
  </si>
  <si>
    <t>4.3.2</t>
  </si>
  <si>
    <t>Water &amp; Sewage Infrastructure</t>
  </si>
  <si>
    <t>Water Infrastructure</t>
  </si>
  <si>
    <t>Reservoirs, Treatment Plants</t>
  </si>
  <si>
    <t>4.3.3</t>
  </si>
  <si>
    <t>Waste Treatment</t>
  </si>
  <si>
    <t>Environmental Infrastructure</t>
  </si>
  <si>
    <t>Recycling Facilities, Waste Treatment Plants</t>
  </si>
  <si>
    <t>Permanent Residential Use</t>
  </si>
  <si>
    <t>Residential</t>
  </si>
  <si>
    <t>Houses, Apartments, Residential Blocks</t>
  </si>
  <si>
    <t>Multifamily Housing</t>
  </si>
  <si>
    <t>Institutional Rental Housing</t>
  </si>
  <si>
    <t>Luxury Residential</t>
  </si>
  <si>
    <t>Prime Residential, Super Prime Residential</t>
  </si>
  <si>
    <t>Residential with Compatible Uses</t>
  </si>
  <si>
    <t>Mixed Use Living</t>
  </si>
  <si>
    <t>Residential Led Mixed Use</t>
  </si>
  <si>
    <t>Other Residential Use</t>
  </si>
  <si>
    <t>Purpose-Built Student Accommodation</t>
  </si>
  <si>
    <t>Shared Living Assets</t>
  </si>
  <si>
    <t>Retirement Villages, Independent Living</t>
  </si>
  <si>
    <t>Serviced Living</t>
  </si>
  <si>
    <t>Branded Residences, Serviced Apartments</t>
  </si>
  <si>
    <t>Transitional Areas</t>
  </si>
  <si>
    <t>Development Land</t>
  </si>
  <si>
    <t>Construction Sites, Regeneration Projects</t>
  </si>
  <si>
    <t>Abandoned Areas</t>
  </si>
  <si>
    <t>Brownfield Regeneration</t>
  </si>
  <si>
    <t>Redevelopment Opportunities</t>
  </si>
  <si>
    <t>Natural Areas</t>
  </si>
  <si>
    <t>Environmental Assets</t>
  </si>
  <si>
    <t>Conservation Land, Biodiversity Assets</t>
  </si>
  <si>
    <t>Areas Where Any Use Allowed</t>
  </si>
  <si>
    <t>Strategic Land</t>
  </si>
  <si>
    <t>Long-Term Development Land</t>
  </si>
  <si>
    <t>Areas Without Specified Planned Use</t>
  </si>
  <si>
    <t>Unallocated Land</t>
  </si>
  <si>
    <t>Future Planning Allocations</t>
  </si>
  <si>
    <t>Not Known Use</t>
  </si>
  <si>
    <t>Unknown</t>
  </si>
  <si>
    <t>Unclassified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</si>
</sst>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B71C1C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2"/>
      <color rgb="FF666666"/>
      <name val="Calibri"/>
      <family val="2"/>
      <scheme val="minor"/>
    </font>
    <font>
      <sz val="10"/>
      <color rgb="FF888888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5C6BC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FCD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2" fillId="11" borderId="0" xfId="0" applyFont="1" applyFill="1" applyAlignment="1">
      <alignment horizontal="center"/>
    </xf>
    <xf numFmtId="0" fontId="2" fillId="11" borderId="0" xfId="0" applyFont="1" applyFill="1"/>
    <xf numFmtId="0" fontId="1" fillId="12" borderId="0" xfId="0" applyFont="1" applyFill="1"/>
    <xf numFmtId="0" fontId="1" fillId="12" borderId="0" xfId="0" applyFont="1" applyFill="1" applyAlignment="1">
      <alignment horizontal="right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1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B71C1C"/>
        <name val="Calibri"/>
        <family val="2"/>
        <scheme val="minor"/>
      </font>
      <fill>
        <patternFill patternType="solid">
          <fgColor indexed="64"/>
          <bgColor rgb="FFFFCDD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C6282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D32"/>
        </patternFill>
      </fill>
      <alignment horizontal="center" vertical="bottom" textRotation="0" wrapText="0" indent="0" justifyLastLine="0" shrinkToFit="0" readingOrder="0"/>
    </dxf>
    <dxf>
      <font>
        <color rgb="FFE65100"/>
      </font>
      <fill>
        <patternFill patternType="solid">
          <fgColor indexed="64"/>
          <bgColor rgb="FFFFE0B2"/>
        </patternFill>
      </fill>
    </dxf>
    <dxf>
      <font>
        <color rgb="FF1B5E20"/>
      </font>
      <fill>
        <patternFill patternType="solid">
          <fgColor indexed="64"/>
          <bgColor rgb="FFC8E6C9"/>
        </patternFill>
      </fill>
    </dxf>
    <dxf>
      <font>
        <color rgb="FF0D47A1"/>
      </font>
      <fill>
        <patternFill patternType="solid">
          <fgColor indexed="64"/>
          <bgColor rgb="FFBBDEF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C6B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7BE79-DC0C-40D9-BF85-871A4E8A85AB}" name="HILUCSOverview" displayName="HILUCSOverview" ref="A1:E7" totalsRowShown="0" headerRowDxfId="30" dataDxfId="29">
  <autoFilter ref="A1:E7" xr:uid="{9A17BE79-DC0C-40D9-BF85-871A4E8A85AB}"/>
  <tableColumns count="5">
    <tableColumn id="1" xr3:uid="{DA23F90F-B8D3-4E87-A759-513CEEDF8ED8}" name="HILUCS L1 Code" dataDxfId="28"/>
    <tableColumn id="2" xr3:uid="{3A3F81D1-0A99-4BF5-8E10-9FCE6F3762AA}" name="HILUCS L1 Description" dataDxfId="27"/>
    <tableColumn id="3" xr3:uid="{BD393A3F-1621-44C6-B288-5F5260D89EBD}" name="L2 Categories" dataDxfId="26"/>
    <tableColumn id="4" xr3:uid="{66391380-1AC5-47AF-A5D7-AA38EA48CB27}" name="KF Sectors Count" dataDxfId="25"/>
    <tableColumn id="5" xr3:uid="{38495F9F-3D4D-4FA1-BEBF-A503D175FF4D}" name="Primary Use Case" dataDxfId="2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5381D-F619-4B2B-A1A4-CEB75465AFB1}" name="StrategicSectors" displayName="StrategicSectors" ref="A1:D16" totalsRowShown="0" headerRowDxfId="20" dataDxfId="19">
  <autoFilter ref="A1:D16" xr:uid="{7AC5381D-F619-4B2B-A1A4-CEB75465AFB1}"/>
  <tableColumns count="4">
    <tableColumn id="1" xr3:uid="{2094C9B0-7C26-4F3C-A276-C58E735FC218}" name="Strategic KF Sector" dataDxfId="18"/>
    <tableColumn id="2" xr3:uid="{1455FF69-A4E5-4A47-B9C9-248D0F6DAD8E}" name="HILUCS Mapping" dataDxfId="17"/>
    <tableColumn id="3" xr3:uid="{A5FA3687-D569-4005-924F-D7636BC34F8E}" name="Market Significance" dataDxfId="16"/>
    <tableColumn id="4" xr3:uid="{3D8B2B5F-DA48-40DE-B459-BB0DF38F15A4}" name="Notes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9457CB-A125-4564-8BB6-81C5271E3F14}" name="HILUCSGaps" displayName="HILUCSGaps" ref="A1:E14" totalsRowShown="0" headerRowDxfId="14" dataDxfId="13">
  <autoFilter ref="A1:E14" xr:uid="{5D9457CB-A125-4564-8BB6-81C5271E3F14}"/>
  <tableColumns count="5">
    <tableColumn id="1" xr3:uid="{6B4FF44E-4ABD-4A35-9B85-C9B808C93139}" name="Modern Asset Class" dataDxfId="12"/>
    <tableColumn id="2" xr3:uid="{873721CD-3660-4A0C-B1A1-6C693B771E50}" name="HILUCS Explicit?" dataDxfId="11"/>
    <tableColumn id="3" xr3:uid="{2446E8AE-33F9-4B47-89B2-63E4BC9DED43}" name="Enterprise Mapping" dataDxfId="10"/>
    <tableColumn id="4" xr3:uid="{6839D992-D0A3-4FBD-82E3-08C76AA58200}" name="HILUCS Code Used" dataDxfId="9"/>
    <tableColumn id="5" xr3:uid="{DE07E395-28FA-4842-A261-E664FC01E069}" name="Gap Description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CAFED-C26B-4F1E-97DF-310702C40F82}" name="MasterTaxonomy" displayName="MasterTaxonomy" ref="A1:F54" totalsRowShown="0" headerRowDxfId="7" dataDxfId="6">
  <autoFilter ref="A1:F54" xr:uid="{BA5CAFED-C26B-4F1E-97DF-310702C40F82}"/>
  <tableColumns count="6">
    <tableColumn id="1" xr3:uid="{D14DBD97-DB8B-429A-A550-0A3BA6BF7146}" name="HILUCS L1 Code" dataDxfId="5"/>
    <tableColumn id="2" xr3:uid="{694B469C-5EA6-4800-9B71-10F125D986E1}" name="HILUCS L1 Description" dataDxfId="4"/>
    <tableColumn id="3" xr3:uid="{18AA81BE-2451-40B2-94BB-6CF2502B84C1}" name="HILUCS L2 Code" dataDxfId="3"/>
    <tableColumn id="4" xr3:uid="{BE920197-22A7-4424-A4A4-F08B93502610}" name="HILUCS L2 Description" dataDxfId="2"/>
    <tableColumn id="5" xr3:uid="{9E6591C2-0CF0-4EB5-9D8C-141548D05EBF}" name="KF Enterprise Sector" dataDxfId="1"/>
    <tableColumn id="6" xr3:uid="{6A617827-7AFF-4FB0-9BFE-E3CCD8C31070}" name="KF Asset Clas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99A5-383E-41C4-A225-FEDA66155E6F}">
  <dimension ref="A1:A38"/>
  <sheetViews>
    <sheetView workbookViewId="0"/>
  </sheetViews>
  <sheetFormatPr defaultRowHeight="14.45"/>
  <cols>
    <col min="1" max="1" width="89.7109375" bestFit="1" customWidth="1"/>
  </cols>
  <sheetData>
    <row r="1" spans="1:1" ht="23.45">
      <c r="A1" s="24" t="s">
        <v>0</v>
      </c>
    </row>
    <row r="2" spans="1:1" ht="15.6">
      <c r="A2" s="25" t="s">
        <v>1</v>
      </c>
    </row>
    <row r="4" spans="1:1">
      <c r="A4" s="26" t="s">
        <v>2</v>
      </c>
    </row>
    <row r="6" spans="1:1" ht="15.6">
      <c r="A6" s="27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 ht="15.6">
      <c r="A12" s="27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  <row r="22" spans="1:1" ht="15.6">
      <c r="A22" s="27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8" spans="1:1" ht="15.6">
      <c r="A28" s="27" t="s">
        <v>21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4" spans="1:1" ht="15.6">
      <c r="A34" s="27" t="s">
        <v>26</v>
      </c>
    </row>
    <row r="35" spans="1:1">
      <c r="A35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</sheetData>
  <pageMargins left="0.7" right="0.7" top="0.75" bottom="0.75" header="0.3" footer="0.3"/>
  <headerFooter>
    <oddFooter>&amp;R_x000D_&amp;1#&amp;"Aptos"&amp;10&amp;KFF0000 Internal Only Document - Not for distribution or use outside of Knight Frank.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367D-48D1-4ED0-8562-CABFB645A1FD}">
  <dimension ref="A1:E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7.42578125" bestFit="1" customWidth="1"/>
    <col min="2" max="2" width="24" bestFit="1" customWidth="1"/>
    <col min="3" max="3" width="15.28515625" bestFit="1" customWidth="1"/>
    <col min="4" max="4" width="18.5703125" bestFit="1" customWidth="1"/>
    <col min="5" max="5" width="40.7109375" bestFit="1" customWidth="1"/>
  </cols>
  <sheetData>
    <row r="1" spans="1: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</row>
    <row r="2" spans="1:5">
      <c r="A2" s="6">
        <v>1</v>
      </c>
      <c r="B2" s="7" t="s">
        <v>36</v>
      </c>
      <c r="C2" s="6">
        <v>5</v>
      </c>
      <c r="D2" s="6">
        <v>5</v>
      </c>
      <c r="E2" s="7" t="s">
        <v>37</v>
      </c>
    </row>
    <row r="3" spans="1:5">
      <c r="A3" s="8">
        <v>2</v>
      </c>
      <c r="B3" s="9" t="s">
        <v>38</v>
      </c>
      <c r="C3" s="8">
        <v>5</v>
      </c>
      <c r="D3" s="8">
        <v>5</v>
      </c>
      <c r="E3" s="9" t="s">
        <v>39</v>
      </c>
    </row>
    <row r="4" spans="1:5">
      <c r="A4" s="10">
        <v>3</v>
      </c>
      <c r="B4" s="11" t="s">
        <v>40</v>
      </c>
      <c r="C4" s="10">
        <v>14</v>
      </c>
      <c r="D4" s="10">
        <v>17</v>
      </c>
      <c r="E4" s="11" t="s">
        <v>41</v>
      </c>
    </row>
    <row r="5" spans="1:5">
      <c r="A5" s="12">
        <v>4</v>
      </c>
      <c r="B5" s="13" t="s">
        <v>42</v>
      </c>
      <c r="C5" s="12">
        <v>9</v>
      </c>
      <c r="D5" s="12">
        <v>11</v>
      </c>
      <c r="E5" s="13" t="s">
        <v>43</v>
      </c>
    </row>
    <row r="6" spans="1:5">
      <c r="A6" s="14">
        <v>5</v>
      </c>
      <c r="B6" s="15" t="s">
        <v>44</v>
      </c>
      <c r="C6" s="14">
        <v>4</v>
      </c>
      <c r="D6" s="14">
        <v>9</v>
      </c>
      <c r="E6" s="15" t="s">
        <v>45</v>
      </c>
    </row>
    <row r="7" spans="1:5">
      <c r="A7" s="16">
        <v>6</v>
      </c>
      <c r="B7" s="17" t="s">
        <v>46</v>
      </c>
      <c r="C7" s="16">
        <v>6</v>
      </c>
      <c r="D7" s="16">
        <v>6</v>
      </c>
      <c r="E7" s="17" t="s">
        <v>47</v>
      </c>
    </row>
    <row r="9" spans="1:5">
      <c r="A9" s="18"/>
      <c r="B9" s="19" t="s">
        <v>48</v>
      </c>
      <c r="C9" s="20">
        <f>SUM(C2:C7)</f>
        <v>43</v>
      </c>
      <c r="D9" s="20">
        <f>SUM(D2:D7)</f>
        <v>53</v>
      </c>
      <c r="E9" s="18"/>
    </row>
  </sheetData>
  <pageMargins left="0.7" right="0.7" top="0.75" bottom="0.75" header="0.3" footer="0.3"/>
  <headerFooter>
    <oddFooter>&amp;R_x000D_&amp;1#&amp;"Aptos"&amp;10&amp;KFF0000 Internal Only Document - Not for distribution or use outside of Knight Frank.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373B-127E-41E1-95B9-306B9CE52F8D}">
  <dimension ref="A1:D1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0.28515625" bestFit="1" customWidth="1"/>
    <col min="2" max="2" width="18.28515625" bestFit="1" customWidth="1"/>
    <col min="3" max="3" width="21.28515625" bestFit="1" customWidth="1"/>
    <col min="4" max="4" width="45" bestFit="1" customWidth="1"/>
  </cols>
  <sheetData>
    <row r="1" spans="1:4">
      <c r="A1" s="4" t="s">
        <v>49</v>
      </c>
      <c r="B1" s="4" t="s">
        <v>50</v>
      </c>
      <c r="C1" s="4" t="s">
        <v>51</v>
      </c>
      <c r="D1" s="4" t="s">
        <v>52</v>
      </c>
    </row>
    <row r="2" spans="1:4">
      <c r="A2" s="2" t="s">
        <v>53</v>
      </c>
      <c r="B2" s="2" t="s">
        <v>54</v>
      </c>
      <c r="C2" s="2" t="s">
        <v>55</v>
      </c>
      <c r="D2" s="2" t="s">
        <v>56</v>
      </c>
    </row>
    <row r="3" spans="1:4">
      <c r="A3" s="2" t="s">
        <v>57</v>
      </c>
      <c r="B3" s="2" t="s">
        <v>58</v>
      </c>
      <c r="C3" s="2" t="s">
        <v>55</v>
      </c>
      <c r="D3" s="2" t="s">
        <v>59</v>
      </c>
    </row>
    <row r="4" spans="1:4">
      <c r="A4" s="2" t="s">
        <v>60</v>
      </c>
      <c r="B4" s="2" t="s">
        <v>61</v>
      </c>
      <c r="C4" s="2" t="s">
        <v>55</v>
      </c>
      <c r="D4" s="2" t="s">
        <v>62</v>
      </c>
    </row>
    <row r="5" spans="1:4">
      <c r="A5" s="2" t="s">
        <v>63</v>
      </c>
      <c r="B5" s="2">
        <v>4.2</v>
      </c>
      <c r="C5" s="2" t="s">
        <v>64</v>
      </c>
      <c r="D5" s="2" t="s">
        <v>65</v>
      </c>
    </row>
    <row r="6" spans="1:4">
      <c r="A6" s="2" t="s">
        <v>66</v>
      </c>
      <c r="B6" s="2" t="s">
        <v>67</v>
      </c>
      <c r="C6" s="2" t="s">
        <v>68</v>
      </c>
      <c r="D6" s="2" t="s">
        <v>69</v>
      </c>
    </row>
    <row r="7" spans="1:4">
      <c r="A7" s="2" t="s">
        <v>70</v>
      </c>
      <c r="B7" s="2" t="s">
        <v>54</v>
      </c>
      <c r="C7" s="2" t="s">
        <v>68</v>
      </c>
      <c r="D7" s="2" t="s">
        <v>71</v>
      </c>
    </row>
    <row r="8" spans="1:4">
      <c r="A8" s="2" t="s">
        <v>72</v>
      </c>
      <c r="B8" s="2" t="s">
        <v>73</v>
      </c>
      <c r="C8" s="2" t="s">
        <v>55</v>
      </c>
      <c r="D8" s="2" t="s">
        <v>74</v>
      </c>
    </row>
    <row r="9" spans="1:4">
      <c r="A9" s="2" t="s">
        <v>75</v>
      </c>
      <c r="B9" s="2" t="s">
        <v>76</v>
      </c>
      <c r="C9" s="2" t="s">
        <v>64</v>
      </c>
      <c r="D9" s="2" t="s">
        <v>77</v>
      </c>
    </row>
    <row r="10" spans="1:4">
      <c r="A10" s="2" t="s">
        <v>78</v>
      </c>
      <c r="B10" s="2">
        <v>5.3</v>
      </c>
      <c r="C10" s="2" t="s">
        <v>68</v>
      </c>
      <c r="D10" s="2" t="s">
        <v>79</v>
      </c>
    </row>
    <row r="11" spans="1:4">
      <c r="A11" s="2" t="s">
        <v>80</v>
      </c>
      <c r="B11" s="2">
        <v>5.3</v>
      </c>
      <c r="C11" s="2" t="s">
        <v>68</v>
      </c>
      <c r="D11" s="2" t="s">
        <v>79</v>
      </c>
    </row>
    <row r="12" spans="1:4">
      <c r="A12" s="2" t="s">
        <v>81</v>
      </c>
      <c r="B12" s="2" t="s">
        <v>82</v>
      </c>
      <c r="C12" s="2" t="s">
        <v>55</v>
      </c>
      <c r="D12" s="2" t="s">
        <v>83</v>
      </c>
    </row>
    <row r="13" spans="1:4">
      <c r="A13" s="2" t="s">
        <v>84</v>
      </c>
      <c r="B13" s="2">
        <v>4.2</v>
      </c>
      <c r="C13" s="2" t="s">
        <v>68</v>
      </c>
      <c r="D13" s="2" t="s">
        <v>85</v>
      </c>
    </row>
    <row r="14" spans="1:4">
      <c r="A14" s="2" t="s">
        <v>86</v>
      </c>
      <c r="B14" s="2">
        <v>2.4</v>
      </c>
      <c r="C14" s="2" t="s">
        <v>68</v>
      </c>
      <c r="D14" s="2" t="s">
        <v>87</v>
      </c>
    </row>
    <row r="15" spans="1:4">
      <c r="A15" s="2" t="s">
        <v>88</v>
      </c>
      <c r="B15" s="2">
        <v>4.3</v>
      </c>
      <c r="C15" s="2" t="s">
        <v>55</v>
      </c>
      <c r="D15" s="2" t="s">
        <v>89</v>
      </c>
    </row>
    <row r="16" spans="1:4">
      <c r="A16" s="2" t="s">
        <v>90</v>
      </c>
      <c r="B16" s="2" t="s">
        <v>91</v>
      </c>
      <c r="C16" s="2" t="s">
        <v>92</v>
      </c>
      <c r="D16" s="2" t="s">
        <v>93</v>
      </c>
    </row>
  </sheetData>
  <conditionalFormatting sqref="C2:C16">
    <cfRule type="containsText" dxfId="23" priority="1" operator="containsText" text="Core">
      <formula>NOT(ISERROR(SEARCH("Core",C2)))</formula>
    </cfRule>
    <cfRule type="containsText" dxfId="22" priority="2" operator="containsText" text="Emerging">
      <formula>NOT(ISERROR(SEARCH("Emerging",C2)))</formula>
    </cfRule>
    <cfRule type="containsText" dxfId="21" priority="3" operator="containsText" text="Opportunistic">
      <formula>NOT(ISERROR(SEARCH("Opportunistic",C2)))</formula>
    </cfRule>
  </conditionalFormatting>
  <pageMargins left="0.7" right="0.7" top="0.75" bottom="0.75" header="0.3" footer="0.3"/>
  <headerFooter>
    <oddFooter>&amp;R_x000D_&amp;1#&amp;"Aptos"&amp;10&amp;KFF0000 Internal Only Document - Not for distribution or use outside of Knight Frank.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F887-A39E-4F14-BB7C-CDBCA0F53392}">
  <dimension ref="A1:E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1.28515625" bestFit="1" customWidth="1"/>
    <col min="2" max="2" width="17.85546875" bestFit="1" customWidth="1"/>
    <col min="3" max="3" width="21.28515625" bestFit="1" customWidth="1"/>
    <col min="4" max="4" width="20" bestFit="1" customWidth="1"/>
    <col min="5" max="5" width="68.42578125" bestFit="1" customWidth="1"/>
  </cols>
  <sheetData>
    <row r="1" spans="1:5">
      <c r="A1" s="21" t="s">
        <v>94</v>
      </c>
      <c r="B1" s="21" t="s">
        <v>95</v>
      </c>
      <c r="C1" s="21" t="s">
        <v>96</v>
      </c>
      <c r="D1" s="21" t="s">
        <v>97</v>
      </c>
      <c r="E1" s="21" t="s">
        <v>98</v>
      </c>
    </row>
    <row r="2" spans="1:5">
      <c r="A2" s="2" t="s">
        <v>66</v>
      </c>
      <c r="B2" s="23" t="s">
        <v>99</v>
      </c>
      <c r="C2" s="2" t="s">
        <v>100</v>
      </c>
      <c r="D2" s="22" t="s">
        <v>67</v>
      </c>
      <c r="E2" s="2" t="s">
        <v>101</v>
      </c>
    </row>
    <row r="3" spans="1:5">
      <c r="A3" s="2" t="s">
        <v>70</v>
      </c>
      <c r="B3" s="23" t="s">
        <v>99</v>
      </c>
      <c r="C3" s="2" t="s">
        <v>70</v>
      </c>
      <c r="D3" s="22" t="s">
        <v>54</v>
      </c>
      <c r="E3" s="2" t="s">
        <v>102</v>
      </c>
    </row>
    <row r="4" spans="1:5">
      <c r="A4" s="2" t="s">
        <v>103</v>
      </c>
      <c r="B4" s="23" t="s">
        <v>99</v>
      </c>
      <c r="C4" s="2" t="s">
        <v>103</v>
      </c>
      <c r="D4" s="22">
        <v>5.0999999999999996</v>
      </c>
      <c r="E4" s="2" t="s">
        <v>104</v>
      </c>
    </row>
    <row r="5" spans="1:5">
      <c r="A5" s="2" t="s">
        <v>78</v>
      </c>
      <c r="B5" s="23" t="s">
        <v>99</v>
      </c>
      <c r="C5" s="2" t="s">
        <v>78</v>
      </c>
      <c r="D5" s="22">
        <v>5.3</v>
      </c>
      <c r="E5" s="2" t="s">
        <v>105</v>
      </c>
    </row>
    <row r="6" spans="1:5">
      <c r="A6" s="2" t="s">
        <v>84</v>
      </c>
      <c r="B6" s="23" t="s">
        <v>99</v>
      </c>
      <c r="C6" s="2" t="s">
        <v>84</v>
      </c>
      <c r="D6" s="22">
        <v>4.2</v>
      </c>
      <c r="E6" s="2" t="s">
        <v>106</v>
      </c>
    </row>
    <row r="7" spans="1:5">
      <c r="A7" s="2" t="s">
        <v>80</v>
      </c>
      <c r="B7" s="23" t="s">
        <v>99</v>
      </c>
      <c r="C7" s="2" t="s">
        <v>80</v>
      </c>
      <c r="D7" s="22">
        <v>5.3</v>
      </c>
      <c r="E7" s="2" t="s">
        <v>107</v>
      </c>
    </row>
    <row r="8" spans="1:5">
      <c r="A8" s="2" t="s">
        <v>108</v>
      </c>
      <c r="B8" s="23" t="s">
        <v>99</v>
      </c>
      <c r="C8" s="2" t="s">
        <v>108</v>
      </c>
      <c r="D8" s="22">
        <v>5.3</v>
      </c>
      <c r="E8" s="2" t="s">
        <v>109</v>
      </c>
    </row>
    <row r="9" spans="1:5">
      <c r="A9" s="2" t="s">
        <v>110</v>
      </c>
      <c r="B9" s="23" t="s">
        <v>99</v>
      </c>
      <c r="C9" s="2" t="s">
        <v>110</v>
      </c>
      <c r="D9" s="22">
        <v>5.0999999999999996</v>
      </c>
      <c r="E9" s="2" t="s">
        <v>111</v>
      </c>
    </row>
    <row r="10" spans="1:5">
      <c r="A10" s="2" t="s">
        <v>112</v>
      </c>
      <c r="B10" s="23" t="s">
        <v>99</v>
      </c>
      <c r="C10" s="2" t="s">
        <v>112</v>
      </c>
      <c r="D10" s="22">
        <v>4.2</v>
      </c>
      <c r="E10" s="2" t="s">
        <v>113</v>
      </c>
    </row>
    <row r="11" spans="1:5">
      <c r="A11" s="2" t="s">
        <v>114</v>
      </c>
      <c r="B11" s="23" t="s">
        <v>99</v>
      </c>
      <c r="C11" s="2" t="s">
        <v>53</v>
      </c>
      <c r="D11" s="22" t="s">
        <v>54</v>
      </c>
      <c r="E11" s="2" t="s">
        <v>115</v>
      </c>
    </row>
    <row r="12" spans="1:5">
      <c r="A12" s="2" t="s">
        <v>116</v>
      </c>
      <c r="B12" s="23" t="s">
        <v>99</v>
      </c>
      <c r="C12" s="2" t="s">
        <v>70</v>
      </c>
      <c r="D12" s="22" t="s">
        <v>54</v>
      </c>
      <c r="E12" s="2" t="s">
        <v>117</v>
      </c>
    </row>
    <row r="13" spans="1:5">
      <c r="A13" s="2" t="s">
        <v>118</v>
      </c>
      <c r="B13" s="23" t="s">
        <v>99</v>
      </c>
      <c r="C13" s="2" t="s">
        <v>86</v>
      </c>
      <c r="D13" s="22">
        <v>2.4</v>
      </c>
      <c r="E13" s="2" t="s">
        <v>119</v>
      </c>
    </row>
    <row r="14" spans="1:5">
      <c r="A14" s="2" t="s">
        <v>120</v>
      </c>
      <c r="B14" s="23" t="s">
        <v>99</v>
      </c>
      <c r="C14" s="2" t="s">
        <v>121</v>
      </c>
      <c r="D14" s="22" t="s">
        <v>122</v>
      </c>
      <c r="E14" s="2" t="s">
        <v>123</v>
      </c>
    </row>
  </sheetData>
  <pageMargins left="0.7" right="0.7" top="0.75" bottom="0.75" header="0.3" footer="0.3"/>
  <headerFooter>
    <oddFooter>&amp;R_x000D_&amp;1#&amp;"Aptos"&amp;10&amp;KFF0000 Internal Only Document - Not for distribution or use outside of Knight Frank.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zoomScaleNormal="100" zoomScaleSheetLayoutView="100" workbookViewId="0">
      <pane ySplit="1" topLeftCell="A11" activePane="bottomLeft" state="frozen"/>
      <selection pane="bottomLeft" activeCell="M21" sqref="M21"/>
    </sheetView>
  </sheetViews>
  <sheetFormatPr defaultRowHeight="14.45"/>
  <cols>
    <col min="1" max="1" width="17.42578125" bestFit="1" customWidth="1"/>
    <col min="2" max="2" width="24" bestFit="1" customWidth="1"/>
    <col min="3" max="3" width="17.42578125" bestFit="1" customWidth="1"/>
    <col min="4" max="4" width="34.140625" bestFit="1" customWidth="1"/>
    <col min="5" max="5" width="23.5703125" bestFit="1" customWidth="1"/>
    <col min="6" max="6" width="74.140625" bestFit="1" customWidth="1"/>
  </cols>
  <sheetData>
    <row r="1" spans="1:6">
      <c r="A1" s="1" t="s">
        <v>31</v>
      </c>
      <c r="B1" s="1" t="s">
        <v>32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>
      <c r="A2" s="3">
        <v>1</v>
      </c>
      <c r="B2" s="3" t="s">
        <v>36</v>
      </c>
      <c r="C2" s="28">
        <v>1.1000000000000001</v>
      </c>
      <c r="D2" s="3" t="s">
        <v>128</v>
      </c>
      <c r="E2" s="3" t="s">
        <v>128</v>
      </c>
      <c r="F2" s="3" t="s">
        <v>129</v>
      </c>
    </row>
    <row r="3" spans="1:6">
      <c r="A3" s="2">
        <v>1</v>
      </c>
      <c r="B3" s="2" t="s">
        <v>36</v>
      </c>
      <c r="C3" s="29">
        <v>1.2</v>
      </c>
      <c r="D3" s="2" t="s">
        <v>130</v>
      </c>
      <c r="E3" s="2" t="s">
        <v>130</v>
      </c>
      <c r="F3" s="2" t="s">
        <v>131</v>
      </c>
    </row>
    <row r="4" spans="1:6">
      <c r="A4" s="3">
        <v>1</v>
      </c>
      <c r="B4" s="3" t="s">
        <v>36</v>
      </c>
      <c r="C4" s="28">
        <v>1.3</v>
      </c>
      <c r="D4" s="3" t="s">
        <v>132</v>
      </c>
      <c r="E4" s="3" t="s">
        <v>133</v>
      </c>
      <c r="F4" s="3" t="s">
        <v>134</v>
      </c>
    </row>
    <row r="5" spans="1:6">
      <c r="A5" s="2">
        <v>1</v>
      </c>
      <c r="B5" s="2" t="s">
        <v>36</v>
      </c>
      <c r="C5" s="29">
        <v>1.4</v>
      </c>
      <c r="D5" s="2" t="s">
        <v>135</v>
      </c>
      <c r="E5" s="2" t="s">
        <v>136</v>
      </c>
      <c r="F5" s="2" t="s">
        <v>137</v>
      </c>
    </row>
    <row r="6" spans="1:6">
      <c r="A6" s="3">
        <v>1</v>
      </c>
      <c r="B6" s="3" t="s">
        <v>36</v>
      </c>
      <c r="C6" s="28">
        <v>1.5</v>
      </c>
      <c r="D6" s="3" t="s">
        <v>138</v>
      </c>
      <c r="E6" s="3" t="s">
        <v>139</v>
      </c>
      <c r="F6" s="3" t="s">
        <v>140</v>
      </c>
    </row>
    <row r="7" spans="1:6">
      <c r="A7" s="2">
        <v>2</v>
      </c>
      <c r="B7" s="2" t="s">
        <v>38</v>
      </c>
      <c r="C7" s="29">
        <v>2.1</v>
      </c>
      <c r="D7" s="2" t="s">
        <v>141</v>
      </c>
      <c r="E7" s="2" t="s">
        <v>142</v>
      </c>
      <c r="F7" s="2" t="s">
        <v>143</v>
      </c>
    </row>
    <row r="8" spans="1:6">
      <c r="A8" s="3">
        <v>2</v>
      </c>
      <c r="B8" s="3" t="s">
        <v>38</v>
      </c>
      <c r="C8" s="28">
        <v>2.2000000000000002</v>
      </c>
      <c r="D8" s="3" t="s">
        <v>144</v>
      </c>
      <c r="E8" s="3" t="s">
        <v>145</v>
      </c>
      <c r="F8" s="3" t="s">
        <v>146</v>
      </c>
    </row>
    <row r="9" spans="1:6">
      <c r="A9" s="2">
        <v>2</v>
      </c>
      <c r="B9" s="2" t="s">
        <v>38</v>
      </c>
      <c r="C9" s="29">
        <v>2.2999999999999998</v>
      </c>
      <c r="D9" s="2" t="s">
        <v>147</v>
      </c>
      <c r="E9" s="2" t="s">
        <v>148</v>
      </c>
      <c r="F9" s="2" t="s">
        <v>149</v>
      </c>
    </row>
    <row r="10" spans="1:6">
      <c r="A10" s="3">
        <v>2</v>
      </c>
      <c r="B10" s="3" t="s">
        <v>38</v>
      </c>
      <c r="C10" s="28">
        <v>2.4</v>
      </c>
      <c r="D10" s="3" t="s">
        <v>150</v>
      </c>
      <c r="E10" s="3" t="s">
        <v>86</v>
      </c>
      <c r="F10" s="3" t="s">
        <v>151</v>
      </c>
    </row>
    <row r="11" spans="1:6">
      <c r="A11" s="2">
        <v>2</v>
      </c>
      <c r="B11" s="2" t="s">
        <v>38</v>
      </c>
      <c r="C11" s="29">
        <v>2.5</v>
      </c>
      <c r="D11" s="2" t="s">
        <v>152</v>
      </c>
      <c r="E11" s="2" t="s">
        <v>153</v>
      </c>
      <c r="F11" s="2" t="s">
        <v>154</v>
      </c>
    </row>
    <row r="12" spans="1:6">
      <c r="A12" s="3">
        <v>3</v>
      </c>
      <c r="B12" s="3" t="s">
        <v>40</v>
      </c>
      <c r="C12" s="28" t="s">
        <v>58</v>
      </c>
      <c r="D12" s="3" t="s">
        <v>155</v>
      </c>
      <c r="E12" s="3" t="s">
        <v>57</v>
      </c>
      <c r="F12" s="3" t="s">
        <v>156</v>
      </c>
    </row>
    <row r="13" spans="1:6">
      <c r="A13" s="2">
        <v>3</v>
      </c>
      <c r="B13" s="2" t="s">
        <v>40</v>
      </c>
      <c r="C13" s="29" t="s">
        <v>157</v>
      </c>
      <c r="D13" s="2" t="s">
        <v>158</v>
      </c>
      <c r="E13" s="2" t="s">
        <v>159</v>
      </c>
      <c r="F13" s="2" t="s">
        <v>160</v>
      </c>
    </row>
    <row r="14" spans="1:6">
      <c r="A14" s="3">
        <v>3</v>
      </c>
      <c r="B14" s="3" t="s">
        <v>40</v>
      </c>
      <c r="C14" s="28" t="s">
        <v>82</v>
      </c>
      <c r="D14" s="3" t="s">
        <v>161</v>
      </c>
      <c r="E14" s="3" t="s">
        <v>162</v>
      </c>
      <c r="F14" s="3" t="s">
        <v>163</v>
      </c>
    </row>
    <row r="15" spans="1:6">
      <c r="A15" s="2">
        <v>3</v>
      </c>
      <c r="B15" s="2" t="s">
        <v>40</v>
      </c>
      <c r="C15" s="29" t="s">
        <v>82</v>
      </c>
      <c r="D15" s="2" t="s">
        <v>161</v>
      </c>
      <c r="E15" s="2" t="s">
        <v>164</v>
      </c>
      <c r="F15" s="2" t="s">
        <v>165</v>
      </c>
    </row>
    <row r="16" spans="1:6">
      <c r="A16" s="3">
        <v>3</v>
      </c>
      <c r="B16" s="3" t="s">
        <v>40</v>
      </c>
      <c r="C16" s="28" t="s">
        <v>54</v>
      </c>
      <c r="D16" s="3" t="s">
        <v>166</v>
      </c>
      <c r="E16" s="3" t="s">
        <v>53</v>
      </c>
      <c r="F16" s="3" t="s">
        <v>167</v>
      </c>
    </row>
    <row r="17" spans="1:6">
      <c r="A17" s="2">
        <v>3</v>
      </c>
      <c r="B17" s="2" t="s">
        <v>40</v>
      </c>
      <c r="C17" s="29" t="s">
        <v>54</v>
      </c>
      <c r="D17" s="2" t="s">
        <v>166</v>
      </c>
      <c r="E17" s="2" t="s">
        <v>70</v>
      </c>
      <c r="F17" s="2" t="s">
        <v>168</v>
      </c>
    </row>
    <row r="18" spans="1:6">
      <c r="A18" s="3">
        <v>3</v>
      </c>
      <c r="B18" s="3" t="s">
        <v>40</v>
      </c>
      <c r="C18" s="28" t="s">
        <v>67</v>
      </c>
      <c r="D18" s="3" t="s">
        <v>169</v>
      </c>
      <c r="E18" s="3" t="s">
        <v>100</v>
      </c>
      <c r="F18" s="3" t="s">
        <v>170</v>
      </c>
    </row>
    <row r="19" spans="1:6">
      <c r="A19" s="2">
        <v>3</v>
      </c>
      <c r="B19" s="2" t="s">
        <v>40</v>
      </c>
      <c r="C19" s="29" t="s">
        <v>67</v>
      </c>
      <c r="D19" s="2" t="s">
        <v>169</v>
      </c>
      <c r="E19" s="2" t="s">
        <v>171</v>
      </c>
      <c r="F19" s="2" t="s">
        <v>172</v>
      </c>
    </row>
    <row r="20" spans="1:6">
      <c r="A20" s="3">
        <v>3</v>
      </c>
      <c r="B20" s="3" t="s">
        <v>40</v>
      </c>
      <c r="C20" s="28" t="s">
        <v>173</v>
      </c>
      <c r="D20" s="3" t="s">
        <v>174</v>
      </c>
      <c r="E20" s="3" t="s">
        <v>175</v>
      </c>
      <c r="F20" s="3" t="s">
        <v>176</v>
      </c>
    </row>
    <row r="21" spans="1:6">
      <c r="A21" s="2">
        <v>3</v>
      </c>
      <c r="B21" s="2" t="s">
        <v>40</v>
      </c>
      <c r="C21" s="29" t="s">
        <v>177</v>
      </c>
      <c r="D21" s="2" t="s">
        <v>178</v>
      </c>
      <c r="E21" s="2" t="s">
        <v>179</v>
      </c>
      <c r="F21" s="2" t="s">
        <v>180</v>
      </c>
    </row>
    <row r="22" spans="1:6">
      <c r="A22" s="3">
        <v>3</v>
      </c>
      <c r="B22" s="3" t="s">
        <v>40</v>
      </c>
      <c r="C22" s="28" t="s">
        <v>73</v>
      </c>
      <c r="D22" s="3" t="s">
        <v>181</v>
      </c>
      <c r="E22" s="3" t="s">
        <v>72</v>
      </c>
      <c r="F22" s="3" t="s">
        <v>182</v>
      </c>
    </row>
    <row r="23" spans="1:6">
      <c r="A23" s="2">
        <v>3</v>
      </c>
      <c r="B23" s="2" t="s">
        <v>40</v>
      </c>
      <c r="C23" s="29" t="s">
        <v>73</v>
      </c>
      <c r="D23" s="2" t="s">
        <v>181</v>
      </c>
      <c r="E23" s="2" t="s">
        <v>183</v>
      </c>
      <c r="F23" s="2" t="s">
        <v>184</v>
      </c>
    </row>
    <row r="24" spans="1:6">
      <c r="A24" s="3">
        <v>3</v>
      </c>
      <c r="B24" s="3" t="s">
        <v>40</v>
      </c>
      <c r="C24" s="28" t="s">
        <v>185</v>
      </c>
      <c r="D24" s="3" t="s">
        <v>186</v>
      </c>
      <c r="E24" s="3" t="s">
        <v>187</v>
      </c>
      <c r="F24" s="3" t="s">
        <v>188</v>
      </c>
    </row>
    <row r="25" spans="1:6">
      <c r="A25" s="2">
        <v>3</v>
      </c>
      <c r="B25" s="2" t="s">
        <v>40</v>
      </c>
      <c r="C25" s="29" t="s">
        <v>189</v>
      </c>
      <c r="D25" s="2" t="s">
        <v>190</v>
      </c>
      <c r="E25" s="2" t="s">
        <v>191</v>
      </c>
      <c r="F25" s="2" t="s">
        <v>192</v>
      </c>
    </row>
    <row r="26" spans="1:6">
      <c r="A26" s="3">
        <v>3</v>
      </c>
      <c r="B26" s="3" t="s">
        <v>40</v>
      </c>
      <c r="C26" s="28" t="s">
        <v>193</v>
      </c>
      <c r="D26" s="3" t="s">
        <v>194</v>
      </c>
      <c r="E26" s="3" t="s">
        <v>195</v>
      </c>
      <c r="F26" s="3" t="s">
        <v>196</v>
      </c>
    </row>
    <row r="27" spans="1:6">
      <c r="A27" s="2">
        <v>3</v>
      </c>
      <c r="B27" s="2" t="s">
        <v>40</v>
      </c>
      <c r="C27" s="29" t="s">
        <v>197</v>
      </c>
      <c r="D27" s="2" t="s">
        <v>198</v>
      </c>
      <c r="E27" s="2" t="s">
        <v>199</v>
      </c>
      <c r="F27" s="2" t="s">
        <v>200</v>
      </c>
    </row>
    <row r="28" spans="1:6">
      <c r="A28" s="3">
        <v>3</v>
      </c>
      <c r="B28" s="3" t="s">
        <v>40</v>
      </c>
      <c r="C28" s="28" t="s">
        <v>201</v>
      </c>
      <c r="D28" s="3" t="s">
        <v>202</v>
      </c>
      <c r="E28" s="3" t="s">
        <v>203</v>
      </c>
      <c r="F28" s="3" t="s">
        <v>204</v>
      </c>
    </row>
    <row r="29" spans="1:6">
      <c r="A29" s="2">
        <v>4</v>
      </c>
      <c r="B29" s="2" t="s">
        <v>42</v>
      </c>
      <c r="C29" s="29" t="s">
        <v>205</v>
      </c>
      <c r="D29" s="2" t="s">
        <v>206</v>
      </c>
      <c r="E29" s="2" t="s">
        <v>207</v>
      </c>
      <c r="F29" s="2" t="s">
        <v>208</v>
      </c>
    </row>
    <row r="30" spans="1:6">
      <c r="A30" s="3">
        <v>4</v>
      </c>
      <c r="B30" s="3" t="s">
        <v>42</v>
      </c>
      <c r="C30" s="28" t="s">
        <v>209</v>
      </c>
      <c r="D30" s="3" t="s">
        <v>210</v>
      </c>
      <c r="E30" s="3" t="s">
        <v>211</v>
      </c>
      <c r="F30" s="3" t="s">
        <v>212</v>
      </c>
    </row>
    <row r="31" spans="1:6">
      <c r="A31" s="2">
        <v>4</v>
      </c>
      <c r="B31" s="2" t="s">
        <v>42</v>
      </c>
      <c r="C31" s="29" t="s">
        <v>213</v>
      </c>
      <c r="D31" s="2" t="s">
        <v>214</v>
      </c>
      <c r="E31" s="2" t="s">
        <v>215</v>
      </c>
      <c r="F31" s="2" t="s">
        <v>216</v>
      </c>
    </row>
    <row r="32" spans="1:6">
      <c r="A32" s="3">
        <v>4</v>
      </c>
      <c r="B32" s="3" t="s">
        <v>42</v>
      </c>
      <c r="C32" s="28" t="s">
        <v>217</v>
      </c>
      <c r="D32" s="3" t="s">
        <v>218</v>
      </c>
      <c r="E32" s="3" t="s">
        <v>219</v>
      </c>
      <c r="F32" s="3" t="s">
        <v>220</v>
      </c>
    </row>
    <row r="33" spans="1:6">
      <c r="A33" s="2">
        <v>4</v>
      </c>
      <c r="B33" s="2" t="s">
        <v>42</v>
      </c>
      <c r="C33" s="29">
        <v>4.2</v>
      </c>
      <c r="D33" s="2" t="s">
        <v>221</v>
      </c>
      <c r="E33" s="2" t="s">
        <v>63</v>
      </c>
      <c r="F33" s="2" t="s">
        <v>222</v>
      </c>
    </row>
    <row r="34" spans="1:6">
      <c r="A34" s="3">
        <v>4</v>
      </c>
      <c r="B34" s="3" t="s">
        <v>42</v>
      </c>
      <c r="C34" s="28">
        <v>4.2</v>
      </c>
      <c r="D34" s="3" t="s">
        <v>221</v>
      </c>
      <c r="E34" s="3" t="s">
        <v>223</v>
      </c>
      <c r="F34" s="3" t="s">
        <v>224</v>
      </c>
    </row>
    <row r="35" spans="1:6">
      <c r="A35" s="2">
        <v>4</v>
      </c>
      <c r="B35" s="2" t="s">
        <v>42</v>
      </c>
      <c r="C35" s="29">
        <v>4.2</v>
      </c>
      <c r="D35" s="2" t="s">
        <v>221</v>
      </c>
      <c r="E35" s="2" t="s">
        <v>84</v>
      </c>
      <c r="F35" s="2" t="s">
        <v>225</v>
      </c>
    </row>
    <row r="36" spans="1:6">
      <c r="A36" s="3">
        <v>4</v>
      </c>
      <c r="B36" s="3" t="s">
        <v>42</v>
      </c>
      <c r="C36" s="28">
        <v>4.2</v>
      </c>
      <c r="D36" s="3" t="s">
        <v>221</v>
      </c>
      <c r="E36" s="3" t="s">
        <v>112</v>
      </c>
      <c r="F36" s="3" t="s">
        <v>226</v>
      </c>
    </row>
    <row r="37" spans="1:6">
      <c r="A37" s="2">
        <v>4</v>
      </c>
      <c r="B37" s="2" t="s">
        <v>42</v>
      </c>
      <c r="C37" s="29" t="s">
        <v>122</v>
      </c>
      <c r="D37" s="2" t="s">
        <v>227</v>
      </c>
      <c r="E37" s="2" t="s">
        <v>121</v>
      </c>
      <c r="F37" s="2" t="s">
        <v>228</v>
      </c>
    </row>
    <row r="38" spans="1:6">
      <c r="A38" s="3">
        <v>4</v>
      </c>
      <c r="B38" s="3" t="s">
        <v>42</v>
      </c>
      <c r="C38" s="28" t="s">
        <v>229</v>
      </c>
      <c r="D38" s="3" t="s">
        <v>230</v>
      </c>
      <c r="E38" s="3" t="s">
        <v>231</v>
      </c>
      <c r="F38" s="3" t="s">
        <v>232</v>
      </c>
    </row>
    <row r="39" spans="1:6">
      <c r="A39" s="2">
        <v>4</v>
      </c>
      <c r="B39" s="2" t="s">
        <v>42</v>
      </c>
      <c r="C39" s="29" t="s">
        <v>233</v>
      </c>
      <c r="D39" s="2" t="s">
        <v>234</v>
      </c>
      <c r="E39" s="2" t="s">
        <v>235</v>
      </c>
      <c r="F39" s="2" t="s">
        <v>236</v>
      </c>
    </row>
    <row r="40" spans="1:6">
      <c r="A40" s="3">
        <v>5</v>
      </c>
      <c r="B40" s="3" t="s">
        <v>44</v>
      </c>
      <c r="C40" s="28">
        <v>5.0999999999999996</v>
      </c>
      <c r="D40" s="3" t="s">
        <v>237</v>
      </c>
      <c r="E40" s="3" t="s">
        <v>238</v>
      </c>
      <c r="F40" s="3" t="s">
        <v>239</v>
      </c>
    </row>
    <row r="41" spans="1:6">
      <c r="A41" s="2">
        <v>5</v>
      </c>
      <c r="B41" s="2" t="s">
        <v>44</v>
      </c>
      <c r="C41" s="29">
        <v>5.0999999999999996</v>
      </c>
      <c r="D41" s="2" t="s">
        <v>237</v>
      </c>
      <c r="E41" s="2" t="s">
        <v>110</v>
      </c>
      <c r="F41" s="2" t="s">
        <v>240</v>
      </c>
    </row>
    <row r="42" spans="1:6">
      <c r="A42" s="3">
        <v>5</v>
      </c>
      <c r="B42" s="3" t="s">
        <v>44</v>
      </c>
      <c r="C42" s="28">
        <v>5.0999999999999996</v>
      </c>
      <c r="D42" s="3" t="s">
        <v>237</v>
      </c>
      <c r="E42" s="3" t="s">
        <v>103</v>
      </c>
      <c r="F42" s="3" t="s">
        <v>241</v>
      </c>
    </row>
    <row r="43" spans="1:6">
      <c r="A43" s="2">
        <v>5</v>
      </c>
      <c r="B43" s="2" t="s">
        <v>44</v>
      </c>
      <c r="C43" s="29">
        <v>5.0999999999999996</v>
      </c>
      <c r="D43" s="2" t="s">
        <v>237</v>
      </c>
      <c r="E43" s="2" t="s">
        <v>242</v>
      </c>
      <c r="F43" s="2" t="s">
        <v>243</v>
      </c>
    </row>
    <row r="44" spans="1:6">
      <c r="A44" s="3">
        <v>5</v>
      </c>
      <c r="B44" s="3" t="s">
        <v>44</v>
      </c>
      <c r="C44" s="28">
        <v>5.2</v>
      </c>
      <c r="D44" s="3" t="s">
        <v>244</v>
      </c>
      <c r="E44" s="3" t="s">
        <v>245</v>
      </c>
      <c r="F44" s="3" t="s">
        <v>246</v>
      </c>
    </row>
    <row r="45" spans="1:6">
      <c r="A45" s="2">
        <v>5</v>
      </c>
      <c r="B45" s="2" t="s">
        <v>44</v>
      </c>
      <c r="C45" s="29">
        <v>5.3</v>
      </c>
      <c r="D45" s="2" t="s">
        <v>247</v>
      </c>
      <c r="E45" s="2" t="s">
        <v>78</v>
      </c>
      <c r="F45" s="2" t="s">
        <v>248</v>
      </c>
    </row>
    <row r="46" spans="1:6">
      <c r="A46" s="3">
        <v>5</v>
      </c>
      <c r="B46" s="3" t="s">
        <v>44</v>
      </c>
      <c r="C46" s="28">
        <v>5.3</v>
      </c>
      <c r="D46" s="3" t="s">
        <v>247</v>
      </c>
      <c r="E46" s="3" t="s">
        <v>108</v>
      </c>
      <c r="F46" s="3" t="s">
        <v>249</v>
      </c>
    </row>
    <row r="47" spans="1:6">
      <c r="A47" s="2">
        <v>5</v>
      </c>
      <c r="B47" s="2" t="s">
        <v>44</v>
      </c>
      <c r="C47" s="29">
        <v>5.3</v>
      </c>
      <c r="D47" s="2" t="s">
        <v>247</v>
      </c>
      <c r="E47" s="2" t="s">
        <v>80</v>
      </c>
      <c r="F47" s="2" t="s">
        <v>250</v>
      </c>
    </row>
    <row r="48" spans="1:6">
      <c r="A48" s="3">
        <v>5</v>
      </c>
      <c r="B48" s="3" t="s">
        <v>44</v>
      </c>
      <c r="C48" s="28">
        <v>5.3</v>
      </c>
      <c r="D48" s="3" t="s">
        <v>247</v>
      </c>
      <c r="E48" s="3" t="s">
        <v>251</v>
      </c>
      <c r="F48" s="3" t="s">
        <v>252</v>
      </c>
    </row>
    <row r="49" spans="1:6">
      <c r="A49" s="2">
        <v>6</v>
      </c>
      <c r="B49" s="2" t="s">
        <v>46</v>
      </c>
      <c r="C49" s="29">
        <v>6.1</v>
      </c>
      <c r="D49" s="2" t="s">
        <v>253</v>
      </c>
      <c r="E49" s="2" t="s">
        <v>254</v>
      </c>
      <c r="F49" s="2" t="s">
        <v>255</v>
      </c>
    </row>
    <row r="50" spans="1:6">
      <c r="A50" s="3">
        <v>6</v>
      </c>
      <c r="B50" s="3" t="s">
        <v>46</v>
      </c>
      <c r="C50" s="28">
        <v>6.2</v>
      </c>
      <c r="D50" s="3" t="s">
        <v>256</v>
      </c>
      <c r="E50" s="3" t="s">
        <v>257</v>
      </c>
      <c r="F50" s="3" t="s">
        <v>258</v>
      </c>
    </row>
    <row r="51" spans="1:6">
      <c r="A51" s="2">
        <v>6</v>
      </c>
      <c r="B51" s="2" t="s">
        <v>46</v>
      </c>
      <c r="C51" s="29">
        <v>6.3</v>
      </c>
      <c r="D51" s="2" t="s">
        <v>259</v>
      </c>
      <c r="E51" s="2" t="s">
        <v>260</v>
      </c>
      <c r="F51" s="2" t="s">
        <v>261</v>
      </c>
    </row>
    <row r="52" spans="1:6">
      <c r="A52" s="3">
        <v>6</v>
      </c>
      <c r="B52" s="3" t="s">
        <v>46</v>
      </c>
      <c r="C52" s="28">
        <v>6.4</v>
      </c>
      <c r="D52" s="3" t="s">
        <v>262</v>
      </c>
      <c r="E52" s="3" t="s">
        <v>263</v>
      </c>
      <c r="F52" s="3" t="s">
        <v>264</v>
      </c>
    </row>
    <row r="53" spans="1:6">
      <c r="A53" s="2">
        <v>6</v>
      </c>
      <c r="B53" s="2" t="s">
        <v>46</v>
      </c>
      <c r="C53" s="29">
        <v>6.5</v>
      </c>
      <c r="D53" s="2" t="s">
        <v>265</v>
      </c>
      <c r="E53" s="2" t="s">
        <v>266</v>
      </c>
      <c r="F53" s="2" t="s">
        <v>267</v>
      </c>
    </row>
    <row r="54" spans="1:6">
      <c r="A54" s="3">
        <v>6</v>
      </c>
      <c r="B54" s="3" t="s">
        <v>46</v>
      </c>
      <c r="C54" s="28">
        <v>6.6</v>
      </c>
      <c r="D54" s="3" t="s">
        <v>268</v>
      </c>
      <c r="E54" s="3" t="s">
        <v>269</v>
      </c>
      <c r="F54" s="3" t="s">
        <v>270</v>
      </c>
    </row>
  </sheetData>
  <pageMargins left="0.7" right="0.7" top="0.75" bottom="0.75" header="0.3" footer="0.3"/>
  <pageSetup orientation="portrait" horizontalDpi="4294967295" verticalDpi="4294967295"/>
  <headerFooter>
    <oddFooter>&amp;R_x000D_&amp;1#&amp;"Aptos"&amp;10&amp;KFF0000 Internal Only Document - Not for distribution or use outside of Knight Frank.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2026-08-18T14:49:08Z</dcterms:created>
  <dcterms:modified xsi:type="dcterms:W3CDTF">2026-08-26T12:09:53Z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2b894f-a748-44a5-afe8-0a44b8af64ec_Enabled">
    <vt:lpwstr>true</vt:lpwstr>
  </property>
  <property fmtid="{D5CDD505-2E9C-101B-9397-08002B2CF9AE}" pid="3" name="MSIP_Label_f92b894f-a748-44a5-afe8-0a44b8af64ec_SetDate">
    <vt:lpwstr>2026-08-18T15:02:50Z</vt:lpwstr>
  </property>
  <property fmtid="{D5CDD505-2E9C-101B-9397-08002B2CF9AE}" pid="4" name="MSIP_Label_f92b894f-a748-44a5-afe8-0a44b8af64ec_Method">
    <vt:lpwstr>Privileged</vt:lpwstr>
  </property>
  <property fmtid="{D5CDD505-2E9C-101B-9397-08002B2CF9AE}" pid="5" name="MSIP_Label_f92b894f-a748-44a5-afe8-0a44b8af64ec_Name">
    <vt:lpwstr>Internal NEW</vt:lpwstr>
  </property>
  <property fmtid="{D5CDD505-2E9C-101B-9397-08002B2CF9AE}" pid="6" name="MSIP_Label_f92b894f-a748-44a5-afe8-0a44b8af64ec_SiteId">
    <vt:lpwstr>99d6a2d9-b626-40e9-822a-688a6cda5a94</vt:lpwstr>
  </property>
  <property fmtid="{D5CDD505-2E9C-101B-9397-08002B2CF9AE}" pid="7" name="MSIP_Label_f92b894f-a748-44a5-afe8-0a44b8af64ec_ActionId">
    <vt:lpwstr>e445f63a-bb2b-49f9-a32c-3d387e30ffe5</vt:lpwstr>
  </property>
  <property fmtid="{D5CDD505-2E9C-101B-9397-08002B2CF9AE}" pid="8" name="MSIP_Label_f92b894f-a748-44a5-afe8-0a44b8af64ec_ContentBits">
    <vt:lpwstr>2</vt:lpwstr>
  </property>
  <property fmtid="{D5CDD505-2E9C-101B-9397-08002B2CF9AE}" pid="9" name="MSIP_Label_f92b894f-a748-44a5-afe8-0a44b8af64ec_Tag">
    <vt:lpwstr>10, 0, 1, 1</vt:lpwstr>
  </property>
  <property fmtid="{D5CDD505-2E9C-101B-9397-08002B2CF9AE}" pid="10" name="InitialSL">
    <vt:lpwstr>Internal</vt:lpwstr>
  </property>
</Properties>
</file>